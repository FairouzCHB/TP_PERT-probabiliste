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Venom\Desktop\OR\TP_PERT-probabiliste\"/>
    </mc:Choice>
  </mc:AlternateContent>
  <bookViews>
    <workbookView xWindow="0" yWindow="0" windowWidth="2350" windowHeight="220"/>
  </bookViews>
  <sheets>
    <sheet name="Sheet1" sheetId="1" r:id="rId1"/>
  </sheets>
  <definedNames>
    <definedName name="_xlchart.v1.0" hidden="1">Sheet1!$A$2:$A$19</definedName>
    <definedName name="_xlchart.v1.1" hidden="1">Sheet1!$F$1</definedName>
    <definedName name="_xlchart.v1.2" hidden="1">Sheet1!$F$2:$F$19</definedName>
    <definedName name="_xlchart.v1.3" hidden="1">Sheet1!$I$1</definedName>
    <definedName name="_xlchart.v1.4" hidden="1">Sheet1!$I$2:$I$19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3" i="1"/>
  <c r="I5" i="1"/>
  <c r="I4" i="1"/>
  <c r="F4" i="1" l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G19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F2" i="1"/>
  <c r="F3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</calcChain>
</file>

<file path=xl/sharedStrings.xml><?xml version="1.0" encoding="utf-8"?>
<sst xmlns="http://schemas.openxmlformats.org/spreadsheetml/2006/main" count="65" uniqueCount="36">
  <si>
    <t>Task</t>
  </si>
  <si>
    <t>Optimistic (a)</t>
  </si>
  <si>
    <t>Probable (m)</t>
  </si>
  <si>
    <t>Pessimistic (b)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</si>
  <si>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</si>
  <si>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</si>
  <si>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</si>
  <si>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</si>
  <si>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</si>
  <si>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</si>
  <si>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</si>
  <si>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</si>
  <si>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</si>
  <si>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</si>
  <si>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</si>
  <si>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</si>
  <si>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</si>
  <si>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</si>
  <si>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</si>
  <si>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</si>
  <si>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</si>
  <si>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</si>
  <si>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–</t>
  </si>
  <si>
    <t>B, C</t>
  </si>
  <si>
    <t>E, F</t>
  </si>
  <si>
    <t>H, I, J</t>
  </si>
  <si>
    <t>O, P</t>
  </si>
  <si>
    <t>Expected duration (te)</t>
  </si>
  <si>
    <t>Variance (σ²)</t>
  </si>
  <si>
    <t>Standard deviation (σ)</t>
  </si>
  <si>
    <t xml:space="preserve"> Predecessors</t>
  </si>
  <si>
    <t>Start</t>
  </si>
  <si>
    <t>End</t>
  </si>
  <si>
    <t>Critical</t>
  </si>
  <si>
    <t>YES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</si>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</sst>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numFmt numFmtId="0" formatCode="General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400" b="0" i="0" u="none" strike="noStrike" baseline="0"/>
              <a:t>Gantt Chart – Drone Development Project</a:t>
            </a:r>
            <a:endParaRPr lang="fr-F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7.5690096193007178E-2"/>
          <c:y val="0.17911533466094223"/>
          <c:w val="0.89968270398428651"/>
          <c:h val="0.74212811970580939"/>
        </c:manualLayout>
      </c:layout>
      <c:barChart>
        <c:barDir val="bar"/>
        <c:grouping val="stacked"/>
        <c:varyColors val="0"/>
        <c:ser>
          <c:idx val="1"/>
          <c:order val="0"/>
          <c:tx>
            <c:strRef>
              <c:f>Sheet1!$I$1</c:f>
              <c:strCache>
                <c:ptCount val="1"/>
                <c:pt idx="0">
                  <c:v>Start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Sheet1!$A$2:$A$19</c:f>
              <c:strCache>
                <c:ptCount val="18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  <c:pt idx="7">
                  <c:v>H</c:v>
                </c:pt>
                <c:pt idx="8">
                  <c:v>I</c:v>
                </c:pt>
                <c:pt idx="9">
                  <c:v>J</c:v>
                </c:pt>
                <c:pt idx="10">
                  <c:v>K</c:v>
                </c:pt>
                <c:pt idx="11">
                  <c:v>L</c:v>
                </c:pt>
                <c:pt idx="12">
                  <c:v>M</c:v>
                </c:pt>
                <c:pt idx="13">
                  <c:v>N</c:v>
                </c:pt>
                <c:pt idx="14">
                  <c:v>O</c:v>
                </c:pt>
                <c:pt idx="15">
                  <c:v>P</c:v>
                </c:pt>
                <c:pt idx="16">
                  <c:v>Q</c:v>
                </c:pt>
                <c:pt idx="17">
                  <c:v>R</c:v>
                </c:pt>
              </c:strCache>
            </c:strRef>
          </c:cat>
          <c:val>
            <c:numRef>
              <c:f>Sheet1!$I$2:$I$19</c:f>
              <c:numCache>
                <c:formatCode>General</c:formatCode>
                <c:ptCount val="18"/>
                <c:pt idx="0">
                  <c:v>0</c:v>
                </c:pt>
                <c:pt idx="1">
                  <c:v>7.166666666666667</c:v>
                </c:pt>
                <c:pt idx="2">
                  <c:v>7.166666666666667</c:v>
                </c:pt>
                <c:pt idx="3">
                  <c:v>7.166666666666667</c:v>
                </c:pt>
                <c:pt idx="4">
                  <c:v>17.666666666666668</c:v>
                </c:pt>
                <c:pt idx="5">
                  <c:v>11.333333333333334</c:v>
                </c:pt>
                <c:pt idx="6">
                  <c:v>33</c:v>
                </c:pt>
                <c:pt idx="7">
                  <c:v>39.166666666666664</c:v>
                </c:pt>
                <c:pt idx="8">
                  <c:v>39.166666666666664</c:v>
                </c:pt>
                <c:pt idx="9">
                  <c:v>39.166666666666664</c:v>
                </c:pt>
                <c:pt idx="10">
                  <c:v>47.333333333333329</c:v>
                </c:pt>
                <c:pt idx="11">
                  <c:v>50.333333333333329</c:v>
                </c:pt>
                <c:pt idx="12">
                  <c:v>55.499999999999993</c:v>
                </c:pt>
                <c:pt idx="13">
                  <c:v>59.666666666666657</c:v>
                </c:pt>
                <c:pt idx="14">
                  <c:v>66.833333333333329</c:v>
                </c:pt>
                <c:pt idx="15">
                  <c:v>66.833333333333329</c:v>
                </c:pt>
                <c:pt idx="16">
                  <c:v>77.166666666666657</c:v>
                </c:pt>
                <c:pt idx="17">
                  <c:v>80.166666666666657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A7-4779-AAF8-C1D11910D197}"/>
            </c:ext>
          </c:extLst>
        </c:ser>
        <c:ser>
          <c:idx val="0"/>
          <c:order val="1"/>
          <c:tx>
            <c:strRef>
              <c:f>Sheet1!$F$1</c:f>
              <c:strCache>
                <c:ptCount val="1"/>
                <c:pt idx="0">
                  <c:v>Expected duration (te)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2DA7-4779-AAF8-C1D11910D197}"/>
              </c:ext>
            </c:extLst>
          </c:dPt>
          <c:dPt>
            <c:idx val="1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DA7-4779-AAF8-C1D11910D197}"/>
              </c:ext>
            </c:extLst>
          </c:dPt>
          <c:dPt>
            <c:idx val="4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DA7-4779-AAF8-C1D11910D197}"/>
              </c:ext>
            </c:extLst>
          </c:dPt>
          <c:dPt>
            <c:idx val="6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DA7-4779-AAF8-C1D11910D197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DA7-4779-AAF8-C1D11910D197}"/>
              </c:ext>
            </c:extLst>
          </c:dPt>
          <c:dPt>
            <c:idx val="10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2DA7-4779-AAF8-C1D11910D197}"/>
              </c:ext>
            </c:extLst>
          </c:dPt>
          <c:dPt>
            <c:idx val="11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2DA7-4779-AAF8-C1D11910D197}"/>
              </c:ext>
            </c:extLst>
          </c:dPt>
          <c:dPt>
            <c:idx val="1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2DA7-4779-AAF8-C1D11910D197}"/>
              </c:ext>
            </c:extLst>
          </c:dPt>
          <c:dPt>
            <c:idx val="13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2DA7-4779-AAF8-C1D11910D197}"/>
              </c:ext>
            </c:extLst>
          </c:dPt>
          <c:dPt>
            <c:idx val="15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2DA7-4779-AAF8-C1D11910D197}"/>
              </c:ext>
            </c:extLst>
          </c:dPt>
          <c:dPt>
            <c:idx val="16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2DA7-4779-AAF8-C1D11910D197}"/>
              </c:ext>
            </c:extLst>
          </c:dPt>
          <c:dPt>
            <c:idx val="17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2DA7-4779-AAF8-C1D11910D197}"/>
              </c:ext>
            </c:extLst>
          </c:dPt>
          <c:cat>
            <c:strRef>
              <c:f>Sheet1!$A$2:$A$19</c:f>
              <c:strCache>
                <c:ptCount val="18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  <c:pt idx="7">
                  <c:v>H</c:v>
                </c:pt>
                <c:pt idx="8">
                  <c:v>I</c:v>
                </c:pt>
                <c:pt idx="9">
                  <c:v>J</c:v>
                </c:pt>
                <c:pt idx="10">
                  <c:v>K</c:v>
                </c:pt>
                <c:pt idx="11">
                  <c:v>L</c:v>
                </c:pt>
                <c:pt idx="12">
                  <c:v>M</c:v>
                </c:pt>
                <c:pt idx="13">
                  <c:v>N</c:v>
                </c:pt>
                <c:pt idx="14">
                  <c:v>O</c:v>
                </c:pt>
                <c:pt idx="15">
                  <c:v>P</c:v>
                </c:pt>
                <c:pt idx="16">
                  <c:v>Q</c:v>
                </c:pt>
                <c:pt idx="17">
                  <c:v>R</c:v>
                </c:pt>
              </c:strCache>
            </c:strRef>
          </c:cat>
          <c:val>
            <c:numRef>
              <c:f>Sheet1!$F$2:$F$19</c:f>
              <c:numCache>
                <c:formatCode>General</c:formatCode>
                <c:ptCount val="18"/>
                <c:pt idx="0">
                  <c:v>7.166666666666667</c:v>
                </c:pt>
                <c:pt idx="1">
                  <c:v>10.5</c:v>
                </c:pt>
                <c:pt idx="2">
                  <c:v>8.3333333333333339</c:v>
                </c:pt>
                <c:pt idx="3">
                  <c:v>4.166666666666667</c:v>
                </c:pt>
                <c:pt idx="4">
                  <c:v>15.333333333333334</c:v>
                </c:pt>
                <c:pt idx="5">
                  <c:v>12.333333333333334</c:v>
                </c:pt>
                <c:pt idx="6">
                  <c:v>6.166666666666667</c:v>
                </c:pt>
                <c:pt idx="7">
                  <c:v>4.166666666666667</c:v>
                </c:pt>
                <c:pt idx="8">
                  <c:v>5.166666666666667</c:v>
                </c:pt>
                <c:pt idx="9">
                  <c:v>8.1666666666666661</c:v>
                </c:pt>
                <c:pt idx="10">
                  <c:v>3</c:v>
                </c:pt>
                <c:pt idx="11">
                  <c:v>5.166666666666667</c:v>
                </c:pt>
                <c:pt idx="12">
                  <c:v>4.166666666666667</c:v>
                </c:pt>
                <c:pt idx="13">
                  <c:v>7.166666666666667</c:v>
                </c:pt>
                <c:pt idx="14">
                  <c:v>5.166666666666667</c:v>
                </c:pt>
                <c:pt idx="15">
                  <c:v>10.333333333333334</c:v>
                </c:pt>
                <c:pt idx="16">
                  <c:v>3</c:v>
                </c:pt>
                <c:pt idx="1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A7-4779-AAF8-C1D11910D1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32681023"/>
        <c:axId val="1332681439"/>
      </c:barChart>
      <c:catAx>
        <c:axId val="1332681023"/>
        <c:scaling>
          <c:orientation val="maxMin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Tasks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32681439"/>
        <c:crosses val="autoZero"/>
        <c:auto val="1"/>
        <c:lblAlgn val="ctr"/>
        <c:lblOffset val="100"/>
        <c:noMultiLvlLbl val="0"/>
      </c:catAx>
      <c:valAx>
        <c:axId val="1332681439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Time</a:t>
                </a:r>
                <a:r>
                  <a:rPr lang="fr-FR" baseline="0"/>
                  <a:t> (Days)</a:t>
                </a:r>
                <a:endParaRPr lang="fr-FR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3268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471864</xdr:colOff>
      <xdr:row>1</xdr:row>
      <xdr:rowOff>103970</xdr:rowOff>
    </xdr:from>
    <xdr:to>
      <xdr:col>22</xdr:col>
      <xdr:colOff>503620</xdr:colOff>
      <xdr:row>22</xdr:row>
      <xdr:rowOff>21897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2" name="Table2" displayName="Table2" ref="A1:K19" totalsRowShown="0" headerRowDxfId="12" dataDxfId="11">
  <autoFilter ref="A1:K19"/>
  <tableColumns count="11">
    <tableColumn id="1" name="Task" dataDxfId="10"/>
    <tableColumn id="8" name=" Predecessors" dataDxfId="9"/>
    <tableColumn id="2" name="Optimistic (a)" dataDxfId="8"/>
    <tableColumn id="3" name="Probable (m)" dataDxfId="7"/>
    <tableColumn id="4" name="Pessimistic (b)" dataDxfId="6"/>
    <tableColumn id="5" name="Expected duration (te)" dataDxfId="5">
      <calculatedColumnFormula>(C2:C19 + 4*D2:D19 + E2)/6</calculatedColumnFormula>
    </tableColumn>
    <tableColumn id="6" name="Variance (σ²)" dataDxfId="4">
      <calculatedColumnFormula>((E2:E19 - C2:C19)/6)^2</calculatedColumnFormula>
    </tableColumn>
    <tableColumn id="7" name="Standard deviation (σ)" dataDxfId="3">
      <calculatedColumnFormula>(E2:E19 - C2:C19)/6</calculatedColumnFormula>
    </tableColumn>
    <tableColumn id="9" name="Start" dataDxfId="1"/>
    <tableColumn id="10" name="End" dataDxfId="0">
      <calculatedColumnFormula>I2+F2</calculatedColumnFormula>
    </tableColumn>
    <tableColumn id="11" name="Critical" dataDxfId="2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9"/>
  <sheetViews>
    <sheetView tabSelected="1" zoomScale="43" zoomScaleNormal="32" workbookViewId="0">
      <selection activeCell="U29" sqref="U29"/>
    </sheetView>
  </sheetViews>
  <sheetFormatPr defaultRowHeight="14.5" x14ac:dyDescent="0.35"/>
  <cols>
    <col min="2" max="2" width="13.81640625" customWidth="1"/>
    <col min="3" max="4" width="16.7265625" customWidth="1"/>
    <col min="5" max="5" width="17" customWidth="1"/>
    <col min="6" max="6" width="23.81640625" customWidth="1"/>
    <col min="7" max="7" width="18.08984375" customWidth="1"/>
    <col min="8" max="8" width="24.26953125" customWidth="1"/>
  </cols>
  <sheetData>
    <row r="1" spans="1:11" s="1" customFormat="1" x14ac:dyDescent="0.35">
      <c r="A1" s="2" t="s">
        <v>0</v>
      </c>
      <c r="B1" s="2" t="s">
        <v>30</v>
      </c>
      <c r="C1" s="2" t="s">
        <v>1</v>
      </c>
      <c r="D1" s="2" t="s">
        <v>2</v>
      </c>
      <c r="E1" s="2" t="s">
        <v>3</v>
      </c>
      <c r="F1" s="2" t="s">
        <v>27</v>
      </c>
      <c r="G1" s="2" t="s">
        <v>28</v>
      </c>
      <c r="H1" s="2" t="s">
        <v>29</v>
      </c>
      <c r="I1" s="2" t="s">
        <v>31</v>
      </c>
      <c r="J1" s="2" t="s">
        <v>32</v>
      </c>
      <c r="K1" s="2" t="s">
        <v>33</v>
      </c>
    </row>
    <row r="2" spans="1:11" x14ac:dyDescent="0.35">
      <c r="A2" s="3" t="s">
        <v>4</v>
      </c>
      <c r="B2" s="3" t="s">
        <v>22</v>
      </c>
      <c r="C2" s="3">
        <v>5</v>
      </c>
      <c r="D2" s="3">
        <v>7</v>
      </c>
      <c r="E2" s="3">
        <v>10</v>
      </c>
      <c r="F2" s="4">
        <f t="shared" ref="F2:F19" si="0">(C2:C19 + 4*D2:D19 + E2)/6</f>
        <v>7.166666666666667</v>
      </c>
      <c r="G2" s="4">
        <f t="shared" ref="G2:G19" si="1">((E2:E19 - C2:C19)/6)^2</f>
        <v>0.69444444444444453</v>
      </c>
      <c r="H2" s="4">
        <f t="shared" ref="H2:H19" si="2">(E2:E19 - C2:C19)/6</f>
        <v>0.83333333333333337</v>
      </c>
      <c r="I2" s="5">
        <v>0</v>
      </c>
      <c r="J2" s="5">
        <f t="shared" ref="J2:J19" si="3">I2+F2</f>
        <v>7.166666666666667</v>
      </c>
      <c r="K2" s="5" t="s">
        <v>34</v>
      </c>
    </row>
    <row r="3" spans="1:11" x14ac:dyDescent="0.35">
      <c r="A3" s="3" t="s">
        <v>5</v>
      </c>
      <c r="B3" s="3" t="s">
        <v>4</v>
      </c>
      <c r="C3" s="3">
        <v>8</v>
      </c>
      <c r="D3" s="3">
        <v>10</v>
      </c>
      <c r="E3" s="3">
        <v>15</v>
      </c>
      <c r="F3" s="4">
        <f t="shared" si="0"/>
        <v>10.5</v>
      </c>
      <c r="G3" s="4">
        <f t="shared" si="1"/>
        <v>1.3611111111111114</v>
      </c>
      <c r="H3" s="4">
        <f t="shared" si="2"/>
        <v>1.1666666666666667</v>
      </c>
      <c r="I3">
        <f>I2+F2</f>
        <v>7.166666666666667</v>
      </c>
      <c r="J3" s="5">
        <f t="shared" si="3"/>
        <v>17.666666666666668</v>
      </c>
      <c r="K3" s="5" t="s">
        <v>34</v>
      </c>
    </row>
    <row r="4" spans="1:11" x14ac:dyDescent="0.35">
      <c r="A4" s="3" t="s">
        <v>6</v>
      </c>
      <c r="B4" s="3" t="s">
        <v>4</v>
      </c>
      <c r="C4" s="3">
        <v>6</v>
      </c>
      <c r="D4" s="3">
        <v>8</v>
      </c>
      <c r="E4" s="3">
        <v>12</v>
      </c>
      <c r="F4" s="4">
        <f t="shared" si="0"/>
        <v>8.3333333333333339</v>
      </c>
      <c r="G4" s="4">
        <f t="shared" si="1"/>
        <v>1</v>
      </c>
      <c r="H4" s="4">
        <f t="shared" si="2"/>
        <v>1</v>
      </c>
      <c r="I4">
        <f>I2+F2</f>
        <v>7.166666666666667</v>
      </c>
      <c r="J4" s="5">
        <f t="shared" si="3"/>
        <v>15.5</v>
      </c>
      <c r="K4" s="5" t="s">
        <v>35</v>
      </c>
    </row>
    <row r="5" spans="1:11" x14ac:dyDescent="0.35">
      <c r="A5" s="3" t="s">
        <v>7</v>
      </c>
      <c r="B5" s="3" t="s">
        <v>4</v>
      </c>
      <c r="C5" s="3">
        <v>3</v>
      </c>
      <c r="D5" s="3">
        <v>4</v>
      </c>
      <c r="E5" s="3">
        <v>6</v>
      </c>
      <c r="F5" s="4">
        <f t="shared" si="0"/>
        <v>4.166666666666667</v>
      </c>
      <c r="G5" s="4">
        <f t="shared" si="1"/>
        <v>0.25</v>
      </c>
      <c r="H5" s="4">
        <f t="shared" si="2"/>
        <v>0.5</v>
      </c>
      <c r="I5">
        <f>I2+F2</f>
        <v>7.166666666666667</v>
      </c>
      <c r="J5" s="5">
        <f t="shared" si="3"/>
        <v>11.333333333333334</v>
      </c>
      <c r="K5" s="5" t="s">
        <v>35</v>
      </c>
    </row>
    <row r="6" spans="1:11" x14ac:dyDescent="0.35">
      <c r="A6" s="3" t="s">
        <v>8</v>
      </c>
      <c r="B6" s="3" t="s">
        <v>23</v>
      </c>
      <c r="C6" s="3">
        <v>12</v>
      </c>
      <c r="D6" s="3">
        <v>15</v>
      </c>
      <c r="E6" s="3">
        <v>20</v>
      </c>
      <c r="F6" s="4">
        <f t="shared" si="0"/>
        <v>15.333333333333334</v>
      </c>
      <c r="G6" s="4">
        <f t="shared" si="1"/>
        <v>1.7777777777777777</v>
      </c>
      <c r="H6" s="4">
        <f t="shared" si="2"/>
        <v>1.3333333333333333</v>
      </c>
      <c r="I6" s="5">
        <f>MAX(I3+F3,I4+F4)</f>
        <v>17.666666666666668</v>
      </c>
      <c r="J6" s="5">
        <f t="shared" si="3"/>
        <v>33</v>
      </c>
      <c r="K6" s="5" t="s">
        <v>34</v>
      </c>
    </row>
    <row r="7" spans="1:11" x14ac:dyDescent="0.35">
      <c r="A7" s="3" t="s">
        <v>9</v>
      </c>
      <c r="B7" s="3" t="s">
        <v>7</v>
      </c>
      <c r="C7" s="3">
        <v>10</v>
      </c>
      <c r="D7" s="3">
        <v>12</v>
      </c>
      <c r="E7" s="3">
        <v>16</v>
      </c>
      <c r="F7" s="4">
        <f t="shared" si="0"/>
        <v>12.333333333333334</v>
      </c>
      <c r="G7" s="4">
        <f t="shared" si="1"/>
        <v>1</v>
      </c>
      <c r="H7" s="4">
        <f t="shared" si="2"/>
        <v>1</v>
      </c>
      <c r="I7" s="5">
        <f>I5+F5</f>
        <v>11.333333333333334</v>
      </c>
      <c r="J7" s="5">
        <f t="shared" si="3"/>
        <v>23.666666666666668</v>
      </c>
      <c r="K7" s="5" t="s">
        <v>35</v>
      </c>
    </row>
    <row r="8" spans="1:11" x14ac:dyDescent="0.35">
      <c r="A8" s="3" t="s">
        <v>10</v>
      </c>
      <c r="B8" s="3" t="s">
        <v>24</v>
      </c>
      <c r="C8" s="3">
        <v>5</v>
      </c>
      <c r="D8" s="3">
        <v>6</v>
      </c>
      <c r="E8" s="3">
        <v>8</v>
      </c>
      <c r="F8" s="4">
        <f t="shared" si="0"/>
        <v>6.166666666666667</v>
      </c>
      <c r="G8" s="4">
        <f t="shared" si="1"/>
        <v>0.25</v>
      </c>
      <c r="H8" s="4">
        <f t="shared" si="2"/>
        <v>0.5</v>
      </c>
      <c r="I8">
        <f>MAX(I6+F6,I7+F7)</f>
        <v>33</v>
      </c>
      <c r="J8" s="5">
        <f t="shared" si="3"/>
        <v>39.166666666666664</v>
      </c>
      <c r="K8" s="5" t="s">
        <v>34</v>
      </c>
    </row>
    <row r="9" spans="1:11" x14ac:dyDescent="0.35">
      <c r="A9" s="3" t="s">
        <v>11</v>
      </c>
      <c r="B9" s="3" t="s">
        <v>10</v>
      </c>
      <c r="C9" s="3">
        <v>3</v>
      </c>
      <c r="D9" s="3">
        <v>4</v>
      </c>
      <c r="E9" s="3">
        <v>6</v>
      </c>
      <c r="F9" s="4">
        <f t="shared" si="0"/>
        <v>4.166666666666667</v>
      </c>
      <c r="G9" s="4">
        <f t="shared" si="1"/>
        <v>0.25</v>
      </c>
      <c r="H9" s="4">
        <f t="shared" si="2"/>
        <v>0.5</v>
      </c>
      <c r="I9">
        <f>I8+F8</f>
        <v>39.166666666666664</v>
      </c>
      <c r="J9" s="5">
        <f t="shared" si="3"/>
        <v>43.333333333333329</v>
      </c>
      <c r="K9" s="5" t="s">
        <v>35</v>
      </c>
    </row>
    <row r="10" spans="1:11" x14ac:dyDescent="0.35">
      <c r="A10" s="3" t="s">
        <v>12</v>
      </c>
      <c r="B10" s="3" t="s">
        <v>10</v>
      </c>
      <c r="C10" s="3">
        <v>4</v>
      </c>
      <c r="D10" s="3">
        <v>5</v>
      </c>
      <c r="E10" s="3">
        <v>7</v>
      </c>
      <c r="F10" s="4">
        <f t="shared" si="0"/>
        <v>5.166666666666667</v>
      </c>
      <c r="G10" s="4">
        <f t="shared" si="1"/>
        <v>0.25</v>
      </c>
      <c r="H10" s="4">
        <f t="shared" si="2"/>
        <v>0.5</v>
      </c>
      <c r="I10">
        <f>I8+F8</f>
        <v>39.166666666666664</v>
      </c>
      <c r="J10" s="5">
        <f t="shared" si="3"/>
        <v>44.333333333333329</v>
      </c>
      <c r="K10" s="5" t="s">
        <v>35</v>
      </c>
    </row>
    <row r="11" spans="1:11" x14ac:dyDescent="0.35">
      <c r="A11" s="3" t="s">
        <v>13</v>
      </c>
      <c r="B11" s="3" t="s">
        <v>10</v>
      </c>
      <c r="C11" s="3">
        <v>6</v>
      </c>
      <c r="D11" s="3">
        <v>8</v>
      </c>
      <c r="E11" s="3">
        <v>11</v>
      </c>
      <c r="F11" s="4">
        <f t="shared" si="0"/>
        <v>8.1666666666666661</v>
      </c>
      <c r="G11" s="4">
        <f t="shared" si="1"/>
        <v>0.69444444444444453</v>
      </c>
      <c r="H11" s="4">
        <f t="shared" si="2"/>
        <v>0.83333333333333337</v>
      </c>
      <c r="I11">
        <f>I8+F8</f>
        <v>39.166666666666664</v>
      </c>
      <c r="J11" s="5">
        <f t="shared" si="3"/>
        <v>47.333333333333329</v>
      </c>
      <c r="K11" s="5" t="s">
        <v>34</v>
      </c>
    </row>
    <row r="12" spans="1:11" x14ac:dyDescent="0.35">
      <c r="A12" s="3" t="s">
        <v>14</v>
      </c>
      <c r="B12" s="3" t="s">
        <v>25</v>
      </c>
      <c r="C12" s="3">
        <v>2</v>
      </c>
      <c r="D12" s="3">
        <v>3</v>
      </c>
      <c r="E12" s="3">
        <v>4</v>
      </c>
      <c r="F12" s="4">
        <f t="shared" si="0"/>
        <v>3</v>
      </c>
      <c r="G12" s="4">
        <f t="shared" si="1"/>
        <v>0.1111111111111111</v>
      </c>
      <c r="H12" s="4">
        <f t="shared" si="2"/>
        <v>0.33333333333333331</v>
      </c>
      <c r="I12">
        <f>MAX(I9+F9,I10+F10,I11+F11)</f>
        <v>47.333333333333329</v>
      </c>
      <c r="J12" s="5">
        <f t="shared" si="3"/>
        <v>50.333333333333329</v>
      </c>
      <c r="K12" s="5" t="s">
        <v>34</v>
      </c>
    </row>
    <row r="13" spans="1:11" x14ac:dyDescent="0.35">
      <c r="A13" s="3" t="s">
        <v>15</v>
      </c>
      <c r="B13" s="3" t="s">
        <v>14</v>
      </c>
      <c r="C13" s="3">
        <v>4</v>
      </c>
      <c r="D13" s="3">
        <v>5</v>
      </c>
      <c r="E13" s="3">
        <v>7</v>
      </c>
      <c r="F13" s="4">
        <f t="shared" si="0"/>
        <v>5.166666666666667</v>
      </c>
      <c r="G13" s="4">
        <f t="shared" si="1"/>
        <v>0.25</v>
      </c>
      <c r="H13" s="4">
        <f t="shared" si="2"/>
        <v>0.5</v>
      </c>
      <c r="I13">
        <f>I12+F12</f>
        <v>50.333333333333329</v>
      </c>
      <c r="J13" s="5">
        <f t="shared" si="3"/>
        <v>55.499999999999993</v>
      </c>
      <c r="K13" s="5" t="s">
        <v>34</v>
      </c>
    </row>
    <row r="14" spans="1:11" x14ac:dyDescent="0.35">
      <c r="A14" s="3" t="s">
        <v>16</v>
      </c>
      <c r="B14" s="3" t="s">
        <v>15</v>
      </c>
      <c r="C14" s="3">
        <v>3</v>
      </c>
      <c r="D14" s="3">
        <v>4</v>
      </c>
      <c r="E14" s="3">
        <v>6</v>
      </c>
      <c r="F14" s="4">
        <f t="shared" si="0"/>
        <v>4.166666666666667</v>
      </c>
      <c r="G14" s="4">
        <f t="shared" si="1"/>
        <v>0.25</v>
      </c>
      <c r="H14" s="4">
        <f t="shared" si="2"/>
        <v>0.5</v>
      </c>
      <c r="I14">
        <f>I13+F13</f>
        <v>55.499999999999993</v>
      </c>
      <c r="J14" s="5">
        <f t="shared" si="3"/>
        <v>59.666666666666657</v>
      </c>
      <c r="K14" s="5" t="s">
        <v>34</v>
      </c>
    </row>
    <row r="15" spans="1:11" x14ac:dyDescent="0.35">
      <c r="A15" s="3" t="s">
        <v>17</v>
      </c>
      <c r="B15" s="3" t="s">
        <v>16</v>
      </c>
      <c r="C15" s="3">
        <v>5</v>
      </c>
      <c r="D15" s="3">
        <v>7</v>
      </c>
      <c r="E15" s="3">
        <v>10</v>
      </c>
      <c r="F15" s="4">
        <f t="shared" si="0"/>
        <v>7.166666666666667</v>
      </c>
      <c r="G15" s="4">
        <f t="shared" si="1"/>
        <v>0.69444444444444453</v>
      </c>
      <c r="H15" s="4">
        <f t="shared" si="2"/>
        <v>0.83333333333333337</v>
      </c>
      <c r="I15">
        <f>I14+F14</f>
        <v>59.666666666666657</v>
      </c>
      <c r="J15" s="5">
        <f t="shared" si="3"/>
        <v>66.833333333333329</v>
      </c>
      <c r="K15" s="5" t="s">
        <v>34</v>
      </c>
    </row>
    <row r="16" spans="1:11" x14ac:dyDescent="0.35">
      <c r="A16" s="3" t="s">
        <v>18</v>
      </c>
      <c r="B16" s="3" t="s">
        <v>17</v>
      </c>
      <c r="C16" s="3">
        <v>4</v>
      </c>
      <c r="D16" s="3">
        <v>5</v>
      </c>
      <c r="E16" s="3">
        <v>7</v>
      </c>
      <c r="F16" s="4">
        <f t="shared" si="0"/>
        <v>5.166666666666667</v>
      </c>
      <c r="G16" s="4">
        <f t="shared" si="1"/>
        <v>0.25</v>
      </c>
      <c r="H16" s="4">
        <f t="shared" si="2"/>
        <v>0.5</v>
      </c>
      <c r="I16">
        <f>I15+F15</f>
        <v>66.833333333333329</v>
      </c>
      <c r="J16" s="5">
        <f t="shared" si="3"/>
        <v>72</v>
      </c>
      <c r="K16" s="5" t="s">
        <v>35</v>
      </c>
    </row>
    <row r="17" spans="1:11" x14ac:dyDescent="0.35">
      <c r="A17" s="3" t="s">
        <v>19</v>
      </c>
      <c r="B17" s="3" t="s">
        <v>17</v>
      </c>
      <c r="C17" s="3">
        <v>8</v>
      </c>
      <c r="D17" s="3">
        <v>10</v>
      </c>
      <c r="E17" s="3">
        <v>14</v>
      </c>
      <c r="F17" s="4">
        <f t="shared" si="0"/>
        <v>10.333333333333334</v>
      </c>
      <c r="G17" s="4">
        <f t="shared" si="1"/>
        <v>1</v>
      </c>
      <c r="H17" s="4">
        <f t="shared" si="2"/>
        <v>1</v>
      </c>
      <c r="I17">
        <f>I15+F15</f>
        <v>66.833333333333329</v>
      </c>
      <c r="J17" s="5">
        <f t="shared" si="3"/>
        <v>77.166666666666657</v>
      </c>
      <c r="K17" s="5" t="s">
        <v>34</v>
      </c>
    </row>
    <row r="18" spans="1:11" x14ac:dyDescent="0.35">
      <c r="A18" s="3" t="s">
        <v>20</v>
      </c>
      <c r="B18" s="3" t="s">
        <v>26</v>
      </c>
      <c r="C18" s="3">
        <v>2</v>
      </c>
      <c r="D18" s="3">
        <v>3</v>
      </c>
      <c r="E18" s="3">
        <v>4</v>
      </c>
      <c r="F18" s="4">
        <f t="shared" si="0"/>
        <v>3</v>
      </c>
      <c r="G18" s="4">
        <f t="shared" si="1"/>
        <v>0.1111111111111111</v>
      </c>
      <c r="H18" s="4">
        <f t="shared" si="2"/>
        <v>0.33333333333333331</v>
      </c>
      <c r="I18">
        <f>MAX(I16+F16,I17+F17)</f>
        <v>77.166666666666657</v>
      </c>
      <c r="J18" s="5">
        <f t="shared" si="3"/>
        <v>80.166666666666657</v>
      </c>
      <c r="K18" s="5" t="s">
        <v>34</v>
      </c>
    </row>
    <row r="19" spans="1:11" x14ac:dyDescent="0.35">
      <c r="A19" s="3" t="s">
        <v>21</v>
      </c>
      <c r="B19" s="3" t="s">
        <v>20</v>
      </c>
      <c r="C19" s="3">
        <v>1</v>
      </c>
      <c r="D19" s="3">
        <v>2</v>
      </c>
      <c r="E19" s="3">
        <v>3</v>
      </c>
      <c r="F19" s="4">
        <f t="shared" si="0"/>
        <v>2</v>
      </c>
      <c r="G19" s="4">
        <f t="shared" si="1"/>
        <v>0.1111111111111111</v>
      </c>
      <c r="H19" s="4">
        <f t="shared" si="2"/>
        <v>0.33333333333333331</v>
      </c>
      <c r="I19">
        <f>I18+F18</f>
        <v>80.166666666666657</v>
      </c>
      <c r="J19" s="5">
        <f t="shared" si="3"/>
        <v>82.166666666666657</v>
      </c>
      <c r="K19" s="5" t="s">
        <v>34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Morsi Store DZ</dc:creator>
  <cp:lastModifiedBy>Morsi Store DZ</cp:lastModifiedBy>
  <dcterms:created xsi:type="dcterms:W3CDTF">2026-01-06T15:24:29Z</dcterms:created>
  <dcterms:modified xsi:type="dcterms:W3CDTF">2026-01-06T20:38:44Z</dcterms:modified>
</cp:coreProperties>
</file>